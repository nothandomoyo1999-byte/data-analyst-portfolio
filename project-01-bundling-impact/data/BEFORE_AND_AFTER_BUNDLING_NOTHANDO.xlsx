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lule\Desktop\"/>
    </mc:Choice>
  </mc:AlternateContent>
  <bookViews>
    <workbookView xWindow="0" yWindow="0" windowWidth="20490" windowHeight="7545" activeTab="1"/>
  </bookViews>
  <sheets>
    <sheet name="INDIVIDUAL SALES" sheetId="1" r:id="rId1"/>
    <sheet name="Sheet1" sheetId="3" r:id="rId2"/>
    <sheet name="BUNDLED 2LTR FIZZI+8PCR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3" l="1"/>
  <c r="C14" i="3"/>
  <c r="E14" i="3"/>
  <c r="D14" i="3"/>
  <c r="B14" i="3"/>
  <c r="E19" i="3"/>
  <c r="E20" i="3"/>
  <c r="E21" i="3"/>
  <c r="E22" i="3"/>
  <c r="E18" i="3"/>
  <c r="C19" i="3"/>
  <c r="C20" i="3"/>
  <c r="C21" i="3"/>
  <c r="C22" i="3"/>
  <c r="C18" i="3"/>
  <c r="E10" i="3"/>
  <c r="E11" i="3"/>
  <c r="E12" i="3"/>
  <c r="E13" i="3"/>
  <c r="E9" i="3"/>
  <c r="C10" i="3"/>
  <c r="C11" i="3"/>
  <c r="C12" i="3"/>
  <c r="C13" i="3"/>
  <c r="C9" i="3"/>
  <c r="E4" i="3"/>
  <c r="E5" i="3"/>
  <c r="E6" i="3"/>
  <c r="E7" i="3"/>
  <c r="C4" i="3"/>
  <c r="C5" i="3"/>
  <c r="C6" i="3"/>
  <c r="C7" i="3"/>
  <c r="E3" i="3"/>
  <c r="C3" i="3"/>
  <c r="F19" i="3"/>
  <c r="F20" i="3"/>
  <c r="F21" i="3"/>
  <c r="F22" i="3"/>
  <c r="F18" i="3"/>
  <c r="F10" i="3"/>
  <c r="F11" i="3"/>
  <c r="F12" i="3"/>
  <c r="F13" i="3"/>
  <c r="F9" i="3"/>
  <c r="D13" i="3"/>
  <c r="B13" i="3"/>
  <c r="D7" i="3"/>
  <c r="B7" i="3"/>
  <c r="D22" i="3"/>
  <c r="B22" i="3"/>
  <c r="D21" i="3"/>
  <c r="D20" i="3"/>
  <c r="D19" i="3"/>
  <c r="D18" i="3"/>
  <c r="B21" i="3"/>
  <c r="B20" i="3"/>
  <c r="B19" i="3"/>
  <c r="B18" i="3"/>
  <c r="D12" i="3"/>
  <c r="D11" i="3"/>
  <c r="D10" i="3"/>
  <c r="D9" i="3"/>
  <c r="B12" i="3"/>
  <c r="B11" i="3"/>
  <c r="B11" i="1"/>
  <c r="B10" i="3"/>
  <c r="B9" i="3"/>
  <c r="D6" i="3"/>
  <c r="D5" i="3"/>
  <c r="D4" i="3"/>
  <c r="D3" i="3"/>
  <c r="B6" i="3"/>
  <c r="B5" i="3"/>
  <c r="B4" i="3"/>
  <c r="B3" i="3"/>
  <c r="L33" i="1" l="1"/>
  <c r="K33" i="1"/>
  <c r="J33" i="1"/>
  <c r="O33" i="1"/>
  <c r="N33" i="1"/>
  <c r="M33" i="1"/>
  <c r="I33" i="2"/>
  <c r="H33" i="2"/>
  <c r="G33" i="2"/>
  <c r="G7" i="2"/>
  <c r="G6" i="2"/>
  <c r="D33" i="2" l="1"/>
  <c r="C3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  <c r="G33" i="1"/>
  <c r="F33" i="1"/>
  <c r="E33" i="1" l="1"/>
  <c r="B33" i="1"/>
  <c r="B33" i="2"/>
  <c r="D33" i="1" l="1"/>
  <c r="C33" i="1"/>
</calcChain>
</file>

<file path=xl/sharedStrings.xml><?xml version="1.0" encoding="utf-8"?>
<sst xmlns="http://schemas.openxmlformats.org/spreadsheetml/2006/main" count="61" uniqueCount="26">
  <si>
    <t>DATE</t>
  </si>
  <si>
    <t>PRODUCTION COST</t>
  </si>
  <si>
    <t>SALES(QTY SOLD)FOR 8PCR</t>
  </si>
  <si>
    <t>SALES(QTY SOLD)2LTR FIZZI</t>
  </si>
  <si>
    <t>8PCR +2LTR FIZZI COMBO(QTY SOLD)</t>
  </si>
  <si>
    <t>total</t>
  </si>
  <si>
    <t>SELLING PRICE (PER  ITEM)</t>
  </si>
  <si>
    <t>SELLING PRICE</t>
  </si>
  <si>
    <t>SALES</t>
  </si>
  <si>
    <t>JUN '24'</t>
  </si>
  <si>
    <t>Drink Sales</t>
  </si>
  <si>
    <t>1 - 7 days</t>
  </si>
  <si>
    <t>8 - 14 days</t>
  </si>
  <si>
    <t>15-21 days</t>
  </si>
  <si>
    <t>22+ days</t>
  </si>
  <si>
    <t>Total</t>
  </si>
  <si>
    <t>8pcr  Sales</t>
  </si>
  <si>
    <t>Drink+8pcr</t>
  </si>
  <si>
    <t>Number</t>
  </si>
  <si>
    <t>%</t>
  </si>
  <si>
    <t>Bundled Sales</t>
  </si>
  <si>
    <t>Drink+8pcr Sales</t>
  </si>
  <si>
    <t>NOV '23'</t>
  </si>
  <si>
    <t>JUL '24'</t>
  </si>
  <si>
    <t>DEC '23'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</si>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</sst>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14" fontId="1" fillId="3" borderId="1" xfId="0" applyNumberFormat="1" applyFont="1" applyFill="1" applyBorder="1"/>
    <xf numFmtId="0" fontId="0" fillId="3" borderId="1" xfId="0" applyFill="1" applyBorder="1"/>
    <xf numFmtId="0" fontId="0" fillId="5" borderId="1" xfId="0" applyFill="1" applyBorder="1"/>
    <xf numFmtId="0" fontId="2" fillId="7" borderId="2" xfId="0" applyFont="1" applyFill="1" applyBorder="1"/>
    <xf numFmtId="0" fontId="2" fillId="6" borderId="2" xfId="0" applyFont="1" applyFill="1" applyBorder="1"/>
    <xf numFmtId="0" fontId="1" fillId="4" borderId="1" xfId="0" applyFont="1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8" borderId="0" xfId="0" applyFill="1"/>
    <xf numFmtId="0" fontId="0" fillId="8" borderId="1" xfId="0" applyFill="1" applyBorder="1"/>
    <xf numFmtId="8" fontId="0" fillId="5" borderId="1" xfId="0" applyNumberFormat="1" applyFill="1" applyBorder="1"/>
    <xf numFmtId="0" fontId="0" fillId="9" borderId="1" xfId="0" applyFill="1" applyBorder="1"/>
    <xf numFmtId="8" fontId="0" fillId="3" borderId="1" xfId="0" applyNumberFormat="1" applyFill="1" applyBorder="1"/>
    <xf numFmtId="8" fontId="0" fillId="10" borderId="0" xfId="0" applyNumberFormat="1" applyFill="1"/>
    <xf numFmtId="0" fontId="0" fillId="9" borderId="0" xfId="0" applyFill="1"/>
    <xf numFmtId="8" fontId="0" fillId="10" borderId="1" xfId="0" applyNumberFormat="1" applyFill="1" applyBorder="1"/>
    <xf numFmtId="8" fontId="0" fillId="2" borderId="1" xfId="0" applyNumberFormat="1" applyFill="1" applyBorder="1"/>
    <xf numFmtId="0" fontId="0" fillId="10" borderId="0" xfId="0" applyFill="1"/>
    <xf numFmtId="0" fontId="0" fillId="9" borderId="3" xfId="0" applyFill="1" applyBorder="1"/>
    <xf numFmtId="0" fontId="0" fillId="0" borderId="1" xfId="0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3" borderId="4" xfId="0" applyFill="1" applyBorder="1"/>
    <xf numFmtId="0" fontId="0" fillId="18" borderId="1" xfId="0" applyFill="1" applyBorder="1"/>
    <xf numFmtId="14" fontId="0" fillId="11" borderId="1" xfId="0" applyNumberFormat="1" applyFill="1" applyBorder="1"/>
    <xf numFmtId="0" fontId="1" fillId="0" borderId="1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33" workbookViewId="0">
      <selection activeCell="A48" sqref="A48"/>
    </sheetView>
  </sheetViews>
  <sheetFormatPr defaultRowHeight="15" x14ac:dyDescent="0.25"/>
  <cols>
    <col min="1" max="1" width="11.28515625" customWidth="1"/>
    <col min="2" max="2" width="22" customWidth="1"/>
    <col min="3" max="3" width="19.140625" customWidth="1"/>
    <col min="4" max="4" width="15.85546875" customWidth="1"/>
    <col min="5" max="5" width="25.7109375" customWidth="1"/>
    <col min="6" max="6" width="19.28515625" customWidth="1"/>
    <col min="7" max="7" width="18.85546875" customWidth="1"/>
    <col min="9" max="9" width="14" customWidth="1"/>
    <col min="10" max="10" width="23.85546875" customWidth="1"/>
    <col min="11" max="11" width="23.28515625" customWidth="1"/>
    <col min="12" max="12" width="17.7109375" customWidth="1"/>
    <col min="13" max="13" width="25.140625" customWidth="1"/>
    <col min="14" max="14" width="23" customWidth="1"/>
    <col min="15" max="15" width="19.140625" customWidth="1"/>
  </cols>
  <sheetData>
    <row r="1" spans="1:16" x14ac:dyDescent="0.25">
      <c r="A1" s="5" t="s">
        <v>0</v>
      </c>
      <c r="B1" s="5" t="s">
        <v>3</v>
      </c>
      <c r="C1" s="5" t="s">
        <v>6</v>
      </c>
      <c r="D1" s="5" t="s">
        <v>1</v>
      </c>
      <c r="E1" s="6" t="s">
        <v>2</v>
      </c>
      <c r="F1" s="6" t="s">
        <v>6</v>
      </c>
      <c r="G1" s="6" t="s">
        <v>1</v>
      </c>
      <c r="H1" s="1"/>
      <c r="I1" s="23" t="s">
        <v>0</v>
      </c>
      <c r="J1" s="23" t="s">
        <v>3</v>
      </c>
      <c r="K1" s="23" t="s">
        <v>6</v>
      </c>
      <c r="L1" s="23" t="s">
        <v>1</v>
      </c>
      <c r="M1" s="25" t="s">
        <v>2</v>
      </c>
      <c r="N1" s="25" t="s">
        <v>6</v>
      </c>
      <c r="O1" s="25" t="s">
        <v>1</v>
      </c>
      <c r="P1" s="29"/>
    </row>
    <row r="2" spans="1:16" x14ac:dyDescent="0.25">
      <c r="A2" s="2">
        <v>45292</v>
      </c>
      <c r="B2" s="3">
        <v>7</v>
      </c>
      <c r="C2" s="14">
        <v>2</v>
      </c>
      <c r="D2" s="14">
        <v>0.69</v>
      </c>
      <c r="E2" s="4">
        <v>23</v>
      </c>
      <c r="F2" s="12">
        <v>13</v>
      </c>
      <c r="G2" s="12">
        <v>5.54</v>
      </c>
      <c r="I2" s="31">
        <v>45444</v>
      </c>
      <c r="J2" s="22">
        <v>0</v>
      </c>
      <c r="K2" s="22">
        <v>2</v>
      </c>
      <c r="L2" s="22">
        <v>0.69</v>
      </c>
      <c r="M2" s="30">
        <v>17</v>
      </c>
      <c r="N2" s="30">
        <v>13</v>
      </c>
      <c r="O2" s="30">
        <v>5.54</v>
      </c>
    </row>
    <row r="3" spans="1:16" x14ac:dyDescent="0.25">
      <c r="A3" s="2">
        <v>45293</v>
      </c>
      <c r="B3" s="3">
        <v>1</v>
      </c>
      <c r="C3" s="14">
        <v>2</v>
      </c>
      <c r="D3" s="14">
        <v>0.69</v>
      </c>
      <c r="E3" s="4">
        <v>0</v>
      </c>
      <c r="F3" s="12">
        <v>13</v>
      </c>
      <c r="G3" s="12">
        <v>5.54</v>
      </c>
      <c r="I3" s="31">
        <v>45445</v>
      </c>
      <c r="J3" s="22">
        <v>0</v>
      </c>
      <c r="K3" s="22">
        <v>2</v>
      </c>
      <c r="L3" s="22">
        <v>0.69</v>
      </c>
      <c r="M3" s="30">
        <v>19</v>
      </c>
      <c r="N3" s="30">
        <v>13</v>
      </c>
      <c r="O3" s="30">
        <v>5.54</v>
      </c>
    </row>
    <row r="4" spans="1:16" x14ac:dyDescent="0.25">
      <c r="A4" s="2">
        <v>45294</v>
      </c>
      <c r="B4" s="3">
        <v>0</v>
      </c>
      <c r="C4" s="14">
        <v>2</v>
      </c>
      <c r="D4" s="14">
        <v>0.69</v>
      </c>
      <c r="E4" s="4">
        <v>0</v>
      </c>
      <c r="F4" s="12">
        <v>13</v>
      </c>
      <c r="G4" s="12">
        <v>5.54</v>
      </c>
      <c r="I4" s="31">
        <v>45446</v>
      </c>
      <c r="J4" s="22">
        <v>0</v>
      </c>
      <c r="K4" s="22">
        <v>2</v>
      </c>
      <c r="L4" s="22">
        <v>0.69</v>
      </c>
      <c r="M4" s="30">
        <v>18</v>
      </c>
      <c r="N4" s="30">
        <v>13</v>
      </c>
      <c r="O4" s="30">
        <v>5.54</v>
      </c>
    </row>
    <row r="5" spans="1:16" x14ac:dyDescent="0.25">
      <c r="A5" s="2">
        <v>45295</v>
      </c>
      <c r="B5" s="3">
        <v>8</v>
      </c>
      <c r="C5" s="14">
        <v>2</v>
      </c>
      <c r="D5" s="14">
        <v>0.69</v>
      </c>
      <c r="E5" s="4">
        <v>4</v>
      </c>
      <c r="F5" s="12">
        <v>13</v>
      </c>
      <c r="G5" s="12">
        <v>5.54</v>
      </c>
      <c r="I5" s="31">
        <v>45447</v>
      </c>
      <c r="J5" s="22">
        <v>1</v>
      </c>
      <c r="K5" s="22">
        <v>2</v>
      </c>
      <c r="L5" s="22">
        <v>0.69</v>
      </c>
      <c r="M5" s="30">
        <v>9</v>
      </c>
      <c r="N5" s="30">
        <v>13</v>
      </c>
      <c r="O5" s="30">
        <v>5.54</v>
      </c>
    </row>
    <row r="6" spans="1:16" x14ac:dyDescent="0.25">
      <c r="A6" s="2">
        <v>45296</v>
      </c>
      <c r="B6" s="3">
        <v>1</v>
      </c>
      <c r="C6" s="14">
        <v>2</v>
      </c>
      <c r="D6" s="14">
        <v>0.69</v>
      </c>
      <c r="E6" s="4">
        <v>1</v>
      </c>
      <c r="F6" s="12">
        <v>13</v>
      </c>
      <c r="G6" s="12">
        <v>5.54</v>
      </c>
      <c r="I6" s="31">
        <v>45448</v>
      </c>
      <c r="J6" s="22">
        <v>0</v>
      </c>
      <c r="K6" s="22">
        <v>2</v>
      </c>
      <c r="L6" s="22">
        <v>0.69</v>
      </c>
      <c r="M6" s="30">
        <v>13</v>
      </c>
      <c r="N6" s="30">
        <v>13</v>
      </c>
      <c r="O6" s="30">
        <v>5.54</v>
      </c>
    </row>
    <row r="7" spans="1:16" x14ac:dyDescent="0.25">
      <c r="A7" s="2">
        <v>45297</v>
      </c>
      <c r="B7" s="3">
        <v>9</v>
      </c>
      <c r="C7" s="14">
        <v>2</v>
      </c>
      <c r="D7" s="14">
        <v>0.69</v>
      </c>
      <c r="E7" s="4">
        <v>11</v>
      </c>
      <c r="F7" s="12">
        <v>13</v>
      </c>
      <c r="G7" s="12">
        <v>5.54</v>
      </c>
      <c r="I7" s="31">
        <v>45449</v>
      </c>
      <c r="J7" s="22">
        <v>0</v>
      </c>
      <c r="K7" s="22">
        <v>2</v>
      </c>
      <c r="L7" s="22">
        <v>0.69</v>
      </c>
      <c r="M7" s="30">
        <v>12</v>
      </c>
      <c r="N7" s="30">
        <v>13</v>
      </c>
      <c r="O7" s="30">
        <v>5.54</v>
      </c>
    </row>
    <row r="8" spans="1:16" x14ac:dyDescent="0.25">
      <c r="A8" s="2">
        <v>45298</v>
      </c>
      <c r="B8" s="3">
        <v>4</v>
      </c>
      <c r="C8" s="14">
        <v>2</v>
      </c>
      <c r="D8" s="14">
        <v>0.69</v>
      </c>
      <c r="E8" s="4">
        <v>7</v>
      </c>
      <c r="F8" s="12">
        <v>13</v>
      </c>
      <c r="G8" s="12">
        <v>5.54</v>
      </c>
      <c r="I8" s="31">
        <v>45450</v>
      </c>
      <c r="J8" s="22">
        <v>1</v>
      </c>
      <c r="K8" s="22">
        <v>2</v>
      </c>
      <c r="L8" s="22">
        <v>0.69</v>
      </c>
      <c r="M8" s="30">
        <v>10</v>
      </c>
      <c r="N8" s="30">
        <v>13</v>
      </c>
      <c r="O8" s="30">
        <v>5.54</v>
      </c>
    </row>
    <row r="9" spans="1:16" x14ac:dyDescent="0.25">
      <c r="A9" s="2">
        <v>45299</v>
      </c>
      <c r="B9" s="3">
        <v>1</v>
      </c>
      <c r="C9" s="14">
        <v>2</v>
      </c>
      <c r="D9" s="14">
        <v>0.69</v>
      </c>
      <c r="E9" s="4">
        <v>7</v>
      </c>
      <c r="F9" s="12">
        <v>13</v>
      </c>
      <c r="G9" s="12">
        <v>5.54</v>
      </c>
      <c r="I9" s="31">
        <v>45451</v>
      </c>
      <c r="J9" s="22">
        <v>0</v>
      </c>
      <c r="K9" s="22">
        <v>2</v>
      </c>
      <c r="L9" s="22">
        <v>0.69</v>
      </c>
      <c r="M9" s="30">
        <v>26</v>
      </c>
      <c r="N9" s="30">
        <v>13</v>
      </c>
      <c r="O9" s="30">
        <v>5.54</v>
      </c>
    </row>
    <row r="10" spans="1:16" x14ac:dyDescent="0.25">
      <c r="A10" s="2">
        <v>45300</v>
      </c>
      <c r="B10" s="3">
        <v>2</v>
      </c>
      <c r="C10" s="14">
        <v>2</v>
      </c>
      <c r="D10" s="14">
        <v>0.69</v>
      </c>
      <c r="E10" s="4">
        <v>7</v>
      </c>
      <c r="F10" s="12">
        <v>13</v>
      </c>
      <c r="G10" s="12">
        <v>5.54</v>
      </c>
      <c r="I10" s="31">
        <v>45452</v>
      </c>
      <c r="J10" s="22">
        <v>0</v>
      </c>
      <c r="K10" s="22">
        <v>2</v>
      </c>
      <c r="L10" s="22">
        <v>0.69</v>
      </c>
      <c r="M10" s="30">
        <v>11</v>
      </c>
      <c r="N10" s="30">
        <v>13</v>
      </c>
      <c r="O10" s="30">
        <v>5.54</v>
      </c>
    </row>
    <row r="11" spans="1:16" x14ac:dyDescent="0.25">
      <c r="A11" s="2">
        <v>45301</v>
      </c>
      <c r="B11" s="3">
        <f>SUM('INDIVIDUAL SALES'!E16:E22)</f>
        <v>5</v>
      </c>
      <c r="C11" s="14">
        <v>2</v>
      </c>
      <c r="D11" s="14">
        <v>0.69</v>
      </c>
      <c r="E11" s="4">
        <v>3</v>
      </c>
      <c r="F11" s="12">
        <v>13</v>
      </c>
      <c r="G11" s="12">
        <v>5.54</v>
      </c>
      <c r="I11" s="31">
        <v>45453</v>
      </c>
      <c r="J11" s="22">
        <v>0</v>
      </c>
      <c r="K11" s="22">
        <v>2</v>
      </c>
      <c r="L11" s="22">
        <v>0.69</v>
      </c>
      <c r="M11" s="30">
        <v>6</v>
      </c>
      <c r="N11" s="30">
        <v>13</v>
      </c>
      <c r="O11" s="30">
        <v>5.54</v>
      </c>
    </row>
    <row r="12" spans="1:16" x14ac:dyDescent="0.25">
      <c r="A12" s="2">
        <v>45302</v>
      </c>
      <c r="B12" s="3">
        <v>2</v>
      </c>
      <c r="C12" s="14">
        <v>2</v>
      </c>
      <c r="D12" s="14">
        <v>0.69</v>
      </c>
      <c r="E12" s="4">
        <v>4</v>
      </c>
      <c r="F12" s="12">
        <v>13</v>
      </c>
      <c r="G12" s="12">
        <v>5.54</v>
      </c>
      <c r="I12" s="31">
        <v>45454</v>
      </c>
      <c r="J12" s="22">
        <v>0</v>
      </c>
      <c r="K12" s="22">
        <v>2</v>
      </c>
      <c r="L12" s="22">
        <v>0.69</v>
      </c>
      <c r="M12" s="30">
        <v>8</v>
      </c>
      <c r="N12" s="30">
        <v>13</v>
      </c>
      <c r="O12" s="30">
        <v>5.54</v>
      </c>
    </row>
    <row r="13" spans="1:16" x14ac:dyDescent="0.25">
      <c r="A13" s="2">
        <v>45303</v>
      </c>
      <c r="B13" s="3">
        <v>1</v>
      </c>
      <c r="C13" s="14">
        <v>2</v>
      </c>
      <c r="D13" s="14">
        <v>0.69</v>
      </c>
      <c r="E13" s="4">
        <v>3</v>
      </c>
      <c r="F13" s="12">
        <v>13</v>
      </c>
      <c r="G13" s="12">
        <v>5.54</v>
      </c>
      <c r="I13" s="31">
        <v>45455</v>
      </c>
      <c r="J13" s="22">
        <v>0</v>
      </c>
      <c r="K13" s="22">
        <v>2</v>
      </c>
      <c r="L13" s="22">
        <v>0.69</v>
      </c>
      <c r="M13" s="30">
        <v>10</v>
      </c>
      <c r="N13" s="30">
        <v>13</v>
      </c>
      <c r="O13" s="30">
        <v>5.54</v>
      </c>
    </row>
    <row r="14" spans="1:16" x14ac:dyDescent="0.25">
      <c r="A14" s="2">
        <v>45304</v>
      </c>
      <c r="B14" s="3">
        <v>3</v>
      </c>
      <c r="C14" s="14">
        <v>2</v>
      </c>
      <c r="D14" s="14">
        <v>0.69</v>
      </c>
      <c r="E14" s="4">
        <v>1</v>
      </c>
      <c r="F14" s="12">
        <v>13</v>
      </c>
      <c r="G14" s="12">
        <v>5.54</v>
      </c>
      <c r="I14" s="31">
        <v>45456</v>
      </c>
      <c r="J14" s="22">
        <v>0</v>
      </c>
      <c r="K14" s="22">
        <v>2</v>
      </c>
      <c r="L14" s="22">
        <v>0.69</v>
      </c>
      <c r="M14" s="30">
        <v>9</v>
      </c>
      <c r="N14" s="30">
        <v>13</v>
      </c>
      <c r="O14" s="30">
        <v>5.54</v>
      </c>
    </row>
    <row r="15" spans="1:16" x14ac:dyDescent="0.25">
      <c r="A15" s="2">
        <v>45305</v>
      </c>
      <c r="B15" s="3">
        <v>0</v>
      </c>
      <c r="C15" s="14">
        <v>2</v>
      </c>
      <c r="D15" s="14">
        <v>0.69</v>
      </c>
      <c r="E15" s="4">
        <v>2</v>
      </c>
      <c r="F15" s="12">
        <v>13</v>
      </c>
      <c r="G15" s="12">
        <v>5.54</v>
      </c>
      <c r="I15" s="31">
        <v>45457</v>
      </c>
      <c r="J15" s="22">
        <v>0</v>
      </c>
      <c r="K15" s="22">
        <v>2</v>
      </c>
      <c r="L15" s="22">
        <v>0.69</v>
      </c>
      <c r="M15" s="30">
        <v>22</v>
      </c>
      <c r="N15" s="30">
        <v>13</v>
      </c>
      <c r="O15" s="30">
        <v>5.54</v>
      </c>
    </row>
    <row r="16" spans="1:16" x14ac:dyDescent="0.25">
      <c r="A16" s="2">
        <v>45306</v>
      </c>
      <c r="B16" s="3">
        <v>0</v>
      </c>
      <c r="C16" s="14">
        <v>2</v>
      </c>
      <c r="D16" s="14">
        <v>0.69</v>
      </c>
      <c r="E16" s="4">
        <v>0</v>
      </c>
      <c r="F16" s="12">
        <v>13</v>
      </c>
      <c r="G16" s="12">
        <v>5.54</v>
      </c>
      <c r="I16" s="31">
        <v>45458</v>
      </c>
      <c r="J16" s="22">
        <v>0</v>
      </c>
      <c r="K16" s="22">
        <v>2</v>
      </c>
      <c r="L16" s="22">
        <v>0.69</v>
      </c>
      <c r="M16" s="30">
        <v>23</v>
      </c>
      <c r="N16" s="30">
        <v>13</v>
      </c>
      <c r="O16" s="30">
        <v>5.54</v>
      </c>
    </row>
    <row r="17" spans="1:15" x14ac:dyDescent="0.25">
      <c r="A17" s="2">
        <v>45307</v>
      </c>
      <c r="B17" s="3">
        <v>2</v>
      </c>
      <c r="C17" s="14">
        <v>2</v>
      </c>
      <c r="D17" s="14">
        <v>0.69</v>
      </c>
      <c r="E17" s="4">
        <v>1</v>
      </c>
      <c r="F17" s="12">
        <v>13</v>
      </c>
      <c r="G17" s="12">
        <v>5.54</v>
      </c>
      <c r="I17" s="31">
        <v>45459</v>
      </c>
      <c r="J17" s="22">
        <v>0</v>
      </c>
      <c r="K17" s="22">
        <v>2</v>
      </c>
      <c r="L17" s="22">
        <v>0.69</v>
      </c>
      <c r="M17" s="30">
        <v>16</v>
      </c>
      <c r="N17" s="30">
        <v>13</v>
      </c>
      <c r="O17" s="30">
        <v>5.54</v>
      </c>
    </row>
    <row r="18" spans="1:15" x14ac:dyDescent="0.25">
      <c r="A18" s="2">
        <v>45308</v>
      </c>
      <c r="B18" s="3">
        <v>0</v>
      </c>
      <c r="C18" s="14">
        <v>2</v>
      </c>
      <c r="D18" s="14">
        <v>0.69</v>
      </c>
      <c r="E18" s="4">
        <v>0</v>
      </c>
      <c r="F18" s="12">
        <v>13</v>
      </c>
      <c r="G18" s="12">
        <v>5.54</v>
      </c>
      <c r="I18" s="31">
        <v>45460</v>
      </c>
      <c r="J18" s="22">
        <v>0</v>
      </c>
      <c r="K18" s="22">
        <v>2</v>
      </c>
      <c r="L18" s="22">
        <v>0.69</v>
      </c>
      <c r="M18" s="30">
        <v>14</v>
      </c>
      <c r="N18" s="30">
        <v>13</v>
      </c>
      <c r="O18" s="30">
        <v>5.54</v>
      </c>
    </row>
    <row r="19" spans="1:15" x14ac:dyDescent="0.25">
      <c r="A19" s="2">
        <v>45309</v>
      </c>
      <c r="B19" s="3">
        <v>1</v>
      </c>
      <c r="C19" s="14">
        <v>2</v>
      </c>
      <c r="D19" s="14">
        <v>0.69</v>
      </c>
      <c r="E19" s="4">
        <v>0</v>
      </c>
      <c r="F19" s="12">
        <v>13</v>
      </c>
      <c r="G19" s="12">
        <v>5.54</v>
      </c>
      <c r="I19" s="31">
        <v>45461</v>
      </c>
      <c r="J19" s="22">
        <v>0</v>
      </c>
      <c r="K19" s="22">
        <v>2</v>
      </c>
      <c r="L19" s="22">
        <v>0.69</v>
      </c>
      <c r="M19" s="30">
        <v>12</v>
      </c>
      <c r="N19" s="30">
        <v>13</v>
      </c>
      <c r="O19" s="30">
        <v>5.54</v>
      </c>
    </row>
    <row r="20" spans="1:15" x14ac:dyDescent="0.25">
      <c r="A20" s="2">
        <v>45310</v>
      </c>
      <c r="B20" s="3">
        <v>3</v>
      </c>
      <c r="C20" s="14">
        <v>2</v>
      </c>
      <c r="D20" s="14">
        <v>0.69</v>
      </c>
      <c r="E20" s="4">
        <v>2</v>
      </c>
      <c r="F20" s="12">
        <v>13</v>
      </c>
      <c r="G20" s="12">
        <v>5.54</v>
      </c>
      <c r="I20" s="31">
        <v>45462</v>
      </c>
      <c r="J20" s="22">
        <v>0</v>
      </c>
      <c r="K20" s="22">
        <v>2</v>
      </c>
      <c r="L20" s="22">
        <v>0.69</v>
      </c>
      <c r="M20" s="30">
        <v>7</v>
      </c>
      <c r="N20" s="30">
        <v>13</v>
      </c>
      <c r="O20" s="30">
        <v>5.54</v>
      </c>
    </row>
    <row r="21" spans="1:15" x14ac:dyDescent="0.25">
      <c r="A21" s="2">
        <v>45311</v>
      </c>
      <c r="B21" s="3">
        <v>3</v>
      </c>
      <c r="C21" s="14">
        <v>2</v>
      </c>
      <c r="D21" s="14">
        <v>0.69</v>
      </c>
      <c r="E21" s="4">
        <v>2</v>
      </c>
      <c r="F21" s="12">
        <v>13</v>
      </c>
      <c r="G21" s="12">
        <v>5.54</v>
      </c>
      <c r="I21" s="31">
        <v>45463</v>
      </c>
      <c r="J21" s="22">
        <v>0</v>
      </c>
      <c r="K21" s="22">
        <v>2</v>
      </c>
      <c r="L21" s="22">
        <v>0.69</v>
      </c>
      <c r="M21" s="30">
        <v>7</v>
      </c>
      <c r="N21" s="30">
        <v>13</v>
      </c>
      <c r="O21" s="30">
        <v>5.54</v>
      </c>
    </row>
    <row r="22" spans="1:15" x14ac:dyDescent="0.25">
      <c r="A22" s="2">
        <v>45312</v>
      </c>
      <c r="B22" s="3">
        <v>0</v>
      </c>
      <c r="C22" s="14">
        <v>2</v>
      </c>
      <c r="D22" s="14">
        <v>0.69</v>
      </c>
      <c r="E22" s="4">
        <v>0</v>
      </c>
      <c r="F22" s="12">
        <v>13</v>
      </c>
      <c r="G22" s="12">
        <v>5.54</v>
      </c>
      <c r="I22" s="31">
        <v>45464</v>
      </c>
      <c r="J22" s="22">
        <v>0</v>
      </c>
      <c r="K22" s="22">
        <v>2</v>
      </c>
      <c r="L22" s="22">
        <v>0.69</v>
      </c>
      <c r="M22" s="30">
        <v>20</v>
      </c>
      <c r="N22" s="30">
        <v>13</v>
      </c>
      <c r="O22" s="30">
        <v>5.54</v>
      </c>
    </row>
    <row r="23" spans="1:15" x14ac:dyDescent="0.25">
      <c r="A23" s="2">
        <v>45313</v>
      </c>
      <c r="B23" s="3">
        <v>1</v>
      </c>
      <c r="C23" s="14">
        <v>2</v>
      </c>
      <c r="D23" s="14">
        <v>0.69</v>
      </c>
      <c r="E23" s="4">
        <v>0</v>
      </c>
      <c r="F23" s="12">
        <v>13</v>
      </c>
      <c r="G23" s="12">
        <v>5.54</v>
      </c>
      <c r="I23" s="31">
        <v>45465</v>
      </c>
      <c r="J23" s="22">
        <v>0</v>
      </c>
      <c r="K23" s="22">
        <v>2</v>
      </c>
      <c r="L23" s="22">
        <v>0.69</v>
      </c>
      <c r="M23" s="30">
        <v>19</v>
      </c>
      <c r="N23" s="30">
        <v>13</v>
      </c>
      <c r="O23" s="30">
        <v>5.54</v>
      </c>
    </row>
    <row r="24" spans="1:15" x14ac:dyDescent="0.25">
      <c r="A24" s="2">
        <v>45314</v>
      </c>
      <c r="B24" s="3">
        <v>2</v>
      </c>
      <c r="C24" s="14">
        <v>2</v>
      </c>
      <c r="D24" s="14">
        <v>0.69</v>
      </c>
      <c r="E24" s="4">
        <v>1</v>
      </c>
      <c r="F24" s="12">
        <v>13</v>
      </c>
      <c r="G24" s="12">
        <v>5.54</v>
      </c>
      <c r="I24" s="31">
        <v>45466</v>
      </c>
      <c r="J24" s="22">
        <v>0</v>
      </c>
      <c r="K24" s="22">
        <v>2</v>
      </c>
      <c r="L24" s="22">
        <v>0.69</v>
      </c>
      <c r="M24" s="30">
        <v>10</v>
      </c>
      <c r="N24" s="30">
        <v>13</v>
      </c>
      <c r="O24" s="30">
        <v>5.54</v>
      </c>
    </row>
    <row r="25" spans="1:15" x14ac:dyDescent="0.25">
      <c r="A25" s="2">
        <v>45315</v>
      </c>
      <c r="B25" s="3">
        <v>1</v>
      </c>
      <c r="C25" s="14">
        <v>2</v>
      </c>
      <c r="D25" s="14">
        <v>0.69</v>
      </c>
      <c r="E25" s="4">
        <v>1</v>
      </c>
      <c r="F25" s="12">
        <v>13</v>
      </c>
      <c r="G25" s="12">
        <v>5.54</v>
      </c>
      <c r="I25" s="31">
        <v>45467</v>
      </c>
      <c r="J25" s="22">
        <v>0</v>
      </c>
      <c r="K25" s="22">
        <v>2</v>
      </c>
      <c r="L25" s="22">
        <v>0.69</v>
      </c>
      <c r="M25" s="30">
        <v>9</v>
      </c>
      <c r="N25" s="30">
        <v>13</v>
      </c>
      <c r="O25" s="30">
        <v>5.54</v>
      </c>
    </row>
    <row r="26" spans="1:15" x14ac:dyDescent="0.25">
      <c r="A26" s="2">
        <v>45316</v>
      </c>
      <c r="B26" s="3">
        <v>0</v>
      </c>
      <c r="C26" s="14">
        <v>2</v>
      </c>
      <c r="D26" s="14">
        <v>0.69</v>
      </c>
      <c r="E26" s="4">
        <v>3</v>
      </c>
      <c r="F26" s="12">
        <v>13</v>
      </c>
      <c r="G26" s="12">
        <v>5.54</v>
      </c>
      <c r="I26" s="31">
        <v>45468</v>
      </c>
      <c r="J26" s="22">
        <v>0</v>
      </c>
      <c r="K26" s="22">
        <v>2</v>
      </c>
      <c r="L26" s="22">
        <v>0.69</v>
      </c>
      <c r="M26" s="30">
        <v>13</v>
      </c>
      <c r="N26" s="30">
        <v>13</v>
      </c>
      <c r="O26" s="30">
        <v>5.54</v>
      </c>
    </row>
    <row r="27" spans="1:15" x14ac:dyDescent="0.25">
      <c r="A27" s="2">
        <v>45317</v>
      </c>
      <c r="B27" s="3">
        <v>2</v>
      </c>
      <c r="C27" s="14">
        <v>2</v>
      </c>
      <c r="D27" s="14">
        <v>0.69</v>
      </c>
      <c r="E27" s="4">
        <v>1</v>
      </c>
      <c r="F27" s="12">
        <v>13</v>
      </c>
      <c r="G27" s="12">
        <v>5.54</v>
      </c>
      <c r="I27" s="31">
        <v>45469</v>
      </c>
      <c r="J27" s="22">
        <v>0</v>
      </c>
      <c r="K27" s="22">
        <v>2</v>
      </c>
      <c r="L27" s="22">
        <v>0.69</v>
      </c>
      <c r="M27" s="30">
        <v>5</v>
      </c>
      <c r="N27" s="30">
        <v>13</v>
      </c>
      <c r="O27" s="30">
        <v>5.54</v>
      </c>
    </row>
    <row r="28" spans="1:15" x14ac:dyDescent="0.25">
      <c r="A28" s="2">
        <v>45318</v>
      </c>
      <c r="B28" s="3">
        <v>0</v>
      </c>
      <c r="C28" s="14">
        <v>2</v>
      </c>
      <c r="D28" s="14">
        <v>0.69</v>
      </c>
      <c r="E28" s="4">
        <v>3</v>
      </c>
      <c r="F28" s="12">
        <v>13</v>
      </c>
      <c r="G28" s="12">
        <v>5.54</v>
      </c>
      <c r="I28" s="31">
        <v>45470</v>
      </c>
      <c r="J28" s="22">
        <v>0</v>
      </c>
      <c r="K28" s="22">
        <v>2</v>
      </c>
      <c r="L28" s="22">
        <v>0.69</v>
      </c>
      <c r="M28" s="30">
        <v>15</v>
      </c>
      <c r="N28" s="30">
        <v>13</v>
      </c>
      <c r="O28" s="30">
        <v>5.54</v>
      </c>
    </row>
    <row r="29" spans="1:15" x14ac:dyDescent="0.25">
      <c r="A29" s="2">
        <v>45319</v>
      </c>
      <c r="B29" s="3">
        <v>5</v>
      </c>
      <c r="C29" s="14">
        <v>2</v>
      </c>
      <c r="D29" s="14">
        <v>0.69</v>
      </c>
      <c r="E29" s="4">
        <v>1</v>
      </c>
      <c r="F29" s="12">
        <v>13</v>
      </c>
      <c r="G29" s="12">
        <v>5.54</v>
      </c>
      <c r="I29" s="31">
        <v>45471</v>
      </c>
      <c r="J29" s="22">
        <v>3</v>
      </c>
      <c r="K29" s="22">
        <v>2</v>
      </c>
      <c r="L29" s="22">
        <v>0.69</v>
      </c>
      <c r="M29" s="30">
        <v>9</v>
      </c>
      <c r="N29" s="30">
        <v>13</v>
      </c>
      <c r="O29" s="30">
        <v>5.54</v>
      </c>
    </row>
    <row r="30" spans="1:15" x14ac:dyDescent="0.25">
      <c r="A30" s="2">
        <v>45320</v>
      </c>
      <c r="B30" s="3">
        <v>0</v>
      </c>
      <c r="C30" s="14">
        <v>2</v>
      </c>
      <c r="D30" s="14">
        <v>0.69</v>
      </c>
      <c r="E30" s="4">
        <v>0</v>
      </c>
      <c r="F30" s="12">
        <v>13</v>
      </c>
      <c r="G30" s="12">
        <v>5.54</v>
      </c>
      <c r="I30" s="31">
        <v>45472</v>
      </c>
      <c r="J30" s="22">
        <v>2</v>
      </c>
      <c r="K30" s="22">
        <v>2</v>
      </c>
      <c r="L30" s="22">
        <v>0.69</v>
      </c>
      <c r="M30" s="30">
        <v>22</v>
      </c>
      <c r="N30" s="30">
        <v>13</v>
      </c>
      <c r="O30" s="30">
        <v>5.54</v>
      </c>
    </row>
    <row r="31" spans="1:15" x14ac:dyDescent="0.25">
      <c r="A31" s="2">
        <v>45321</v>
      </c>
      <c r="B31" s="3">
        <v>0</v>
      </c>
      <c r="C31" s="14">
        <v>2</v>
      </c>
      <c r="D31" s="14">
        <v>0.69</v>
      </c>
      <c r="E31" s="4">
        <v>2</v>
      </c>
      <c r="F31" s="12">
        <v>13</v>
      </c>
      <c r="G31" s="12">
        <v>5.54</v>
      </c>
      <c r="I31" s="31">
        <v>45473</v>
      </c>
      <c r="J31" s="22">
        <v>0</v>
      </c>
      <c r="K31" s="22">
        <v>2</v>
      </c>
      <c r="L31" s="22">
        <v>0.69</v>
      </c>
      <c r="M31" s="30">
        <v>27</v>
      </c>
      <c r="N31" s="30">
        <v>13</v>
      </c>
      <c r="O31" s="30">
        <v>5.54</v>
      </c>
    </row>
    <row r="32" spans="1:15" x14ac:dyDescent="0.25">
      <c r="A32" s="2">
        <v>45322</v>
      </c>
      <c r="B32" s="3">
        <v>1</v>
      </c>
      <c r="C32" s="14">
        <v>2</v>
      </c>
      <c r="D32" s="14">
        <v>0.69</v>
      </c>
      <c r="E32" s="4">
        <v>0</v>
      </c>
      <c r="F32" s="12">
        <v>13</v>
      </c>
      <c r="G32" s="12">
        <v>5.54</v>
      </c>
      <c r="I32" s="31">
        <v>45474</v>
      </c>
      <c r="J32" s="22"/>
      <c r="K32" s="22"/>
      <c r="L32" s="22"/>
      <c r="M32" s="30"/>
      <c r="N32" s="30"/>
      <c r="O32" s="30"/>
    </row>
    <row r="33" spans="1:15" x14ac:dyDescent="0.25">
      <c r="A33" t="s">
        <v>5</v>
      </c>
      <c r="B33" s="10">
        <f>SUM(B2:B32)</f>
        <v>65</v>
      </c>
      <c r="C33" s="15">
        <f>+B33*C32</f>
        <v>130</v>
      </c>
      <c r="D33" s="16">
        <f>+B33*0.69</f>
        <v>44.849999999999994</v>
      </c>
      <c r="E33" s="10">
        <f>SUM(E2:E32)</f>
        <v>90</v>
      </c>
      <c r="F33" s="17">
        <f>+E33*13</f>
        <v>1170</v>
      </c>
      <c r="G33" s="13">
        <f>+E33*5.54</f>
        <v>498.6</v>
      </c>
      <c r="I33" s="13" t="s">
        <v>5</v>
      </c>
      <c r="J33" s="13">
        <f>SUM(J2:J32)</f>
        <v>7</v>
      </c>
      <c r="K33" s="13">
        <f>+J33*2</f>
        <v>14</v>
      </c>
      <c r="L33" s="13">
        <f>+J33*0.69</f>
        <v>4.83</v>
      </c>
      <c r="M33" s="13">
        <f>SUM(M2:M32)</f>
        <v>418</v>
      </c>
      <c r="N33" s="13">
        <f>+M33*13</f>
        <v>5434</v>
      </c>
      <c r="O33" s="13">
        <f>+M33*5.54</f>
        <v>2315.7199999999998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20" workbookViewId="0">
      <selection activeCell="Q15" sqref="Q15"/>
    </sheetView>
  </sheetViews>
  <sheetFormatPr defaultRowHeight="15" x14ac:dyDescent="0.25"/>
  <cols>
    <col min="1" max="1" width="17.85546875" customWidth="1"/>
  </cols>
  <sheetData>
    <row r="1" spans="1:6" x14ac:dyDescent="0.25">
      <c r="A1" s="32" t="s">
        <v>8</v>
      </c>
      <c r="B1" s="37" t="s">
        <v>22</v>
      </c>
      <c r="C1" s="38"/>
      <c r="D1" s="37" t="s">
        <v>9</v>
      </c>
      <c r="E1" s="38"/>
      <c r="F1" s="45" t="s">
        <v>25</v>
      </c>
    </row>
    <row r="2" spans="1:6" x14ac:dyDescent="0.25">
      <c r="A2" s="32" t="s">
        <v>10</v>
      </c>
      <c r="B2" s="32" t="s">
        <v>18</v>
      </c>
      <c r="C2" s="32" t="s">
        <v>19</v>
      </c>
      <c r="D2" s="32" t="s">
        <v>18</v>
      </c>
      <c r="E2" s="32" t="s">
        <v>19</v>
      </c>
      <c r="F2" s="46"/>
    </row>
    <row r="3" spans="1:6" x14ac:dyDescent="0.25">
      <c r="A3" s="21" t="s">
        <v>11</v>
      </c>
      <c r="B3" s="21">
        <f>SUM('INDIVIDUAL SALES'!B2:B8)</f>
        <v>30</v>
      </c>
      <c r="C3" s="42">
        <f>+B3/F3*100</f>
        <v>93.75</v>
      </c>
      <c r="D3" s="21">
        <f>SUM('INDIVIDUAL SALES'!J2:J8)</f>
        <v>2</v>
      </c>
      <c r="E3" s="42">
        <f>+D3/F3*100</f>
        <v>6.25</v>
      </c>
      <c r="F3" s="21">
        <v>32</v>
      </c>
    </row>
    <row r="4" spans="1:6" x14ac:dyDescent="0.25">
      <c r="A4" s="21" t="s">
        <v>12</v>
      </c>
      <c r="B4" s="21">
        <f>SUM('INDIVIDUAL SALES'!B9:B15)</f>
        <v>14</v>
      </c>
      <c r="C4" s="42">
        <f t="shared" ref="C4:C7" si="0">+B4/F4*100</f>
        <v>100</v>
      </c>
      <c r="D4" s="21">
        <f>SUM('INDIVIDUAL SALES'!J9:J15)</f>
        <v>0</v>
      </c>
      <c r="E4" s="42">
        <f t="shared" ref="E4:E7" si="1">+D4/F4*100</f>
        <v>0</v>
      </c>
      <c r="F4" s="21">
        <v>14</v>
      </c>
    </row>
    <row r="5" spans="1:6" x14ac:dyDescent="0.25">
      <c r="A5" s="21" t="s">
        <v>13</v>
      </c>
      <c r="B5" s="21">
        <f>SUM('INDIVIDUAL SALES'!B16:B22)</f>
        <v>9</v>
      </c>
      <c r="C5" s="42">
        <f t="shared" si="0"/>
        <v>100</v>
      </c>
      <c r="D5" s="21">
        <f>SUM('INDIVIDUAL SALES'!J16:J22)</f>
        <v>0</v>
      </c>
      <c r="E5" s="42">
        <f t="shared" si="1"/>
        <v>0</v>
      </c>
      <c r="F5" s="21">
        <v>9</v>
      </c>
    </row>
    <row r="6" spans="1:6" x14ac:dyDescent="0.25">
      <c r="A6" s="21" t="s">
        <v>14</v>
      </c>
      <c r="B6" s="21">
        <f>SUM('INDIVIDUAL SALES'!B23:B32)</f>
        <v>12</v>
      </c>
      <c r="C6" s="42">
        <f t="shared" si="0"/>
        <v>70.588235294117652</v>
      </c>
      <c r="D6" s="21">
        <f>SUM('INDIVIDUAL SALES'!J23:J31)</f>
        <v>5</v>
      </c>
      <c r="E6" s="42">
        <f t="shared" si="1"/>
        <v>29.411764705882355</v>
      </c>
      <c r="F6" s="21">
        <v>17</v>
      </c>
    </row>
    <row r="7" spans="1:6" x14ac:dyDescent="0.25">
      <c r="A7" s="21" t="s">
        <v>15</v>
      </c>
      <c r="B7" s="21">
        <f>SUM(B3:B6)</f>
        <v>65</v>
      </c>
      <c r="C7" s="42">
        <f t="shared" si="0"/>
        <v>90.277777777777786</v>
      </c>
      <c r="D7" s="21">
        <f>SUM(D3:D6)</f>
        <v>7</v>
      </c>
      <c r="E7" s="42">
        <f t="shared" si="1"/>
        <v>9.7222222222222232</v>
      </c>
      <c r="F7" s="21">
        <v>72</v>
      </c>
    </row>
    <row r="8" spans="1:6" x14ac:dyDescent="0.25">
      <c r="A8" s="32" t="s">
        <v>16</v>
      </c>
      <c r="B8" s="39"/>
      <c r="C8" s="40"/>
      <c r="D8" s="40"/>
      <c r="E8" s="40"/>
      <c r="F8" s="41"/>
    </row>
    <row r="9" spans="1:6" x14ac:dyDescent="0.25">
      <c r="A9" s="21" t="s">
        <v>11</v>
      </c>
      <c r="B9" s="21">
        <f>SUM('INDIVIDUAL SALES'!E2:E8)</f>
        <v>46</v>
      </c>
      <c r="C9" s="42">
        <f>+B9/F9*100</f>
        <v>31.944444444444443</v>
      </c>
      <c r="D9" s="21">
        <f>SUM('INDIVIDUAL SALES'!M2:M8)</f>
        <v>98</v>
      </c>
      <c r="E9" s="42">
        <f>+D9/F9*100</f>
        <v>68.055555555555557</v>
      </c>
      <c r="F9" s="21">
        <f>+B9+D9</f>
        <v>144</v>
      </c>
    </row>
    <row r="10" spans="1:6" x14ac:dyDescent="0.25">
      <c r="A10" s="21" t="s">
        <v>12</v>
      </c>
      <c r="B10" s="21">
        <f>SUM('INDIVIDUAL SALES'!E9:E15)</f>
        <v>27</v>
      </c>
      <c r="C10" s="42">
        <f t="shared" ref="C10:C14" si="2">+B10/F10*100</f>
        <v>22.689075630252102</v>
      </c>
      <c r="D10" s="21">
        <f>SUM('INDIVIDUAL SALES'!M9:M15)</f>
        <v>92</v>
      </c>
      <c r="E10" s="42">
        <f t="shared" ref="E10:E14" si="3">+D10/F10*100</f>
        <v>77.310924369747909</v>
      </c>
      <c r="F10" s="21">
        <f t="shared" ref="F10:F13" si="4">+B10+D10</f>
        <v>119</v>
      </c>
    </row>
    <row r="11" spans="1:6" x14ac:dyDescent="0.25">
      <c r="A11" s="21" t="s">
        <v>13</v>
      </c>
      <c r="B11" s="21">
        <f>SUM('INDIVIDUAL SALES'!E16:E22)</f>
        <v>5</v>
      </c>
      <c r="C11" s="42">
        <f t="shared" si="2"/>
        <v>4.8076923076923084</v>
      </c>
      <c r="D11" s="21">
        <f>SUM('INDIVIDUAL SALES'!M16:M22)</f>
        <v>99</v>
      </c>
      <c r="E11" s="42">
        <f t="shared" si="3"/>
        <v>95.192307692307693</v>
      </c>
      <c r="F11" s="21">
        <f t="shared" si="4"/>
        <v>104</v>
      </c>
    </row>
    <row r="12" spans="1:6" x14ac:dyDescent="0.25">
      <c r="A12" s="21" t="s">
        <v>14</v>
      </c>
      <c r="B12" s="21">
        <f>SUM('INDIVIDUAL SALES'!E23:E31)</f>
        <v>12</v>
      </c>
      <c r="C12" s="42">
        <f t="shared" si="2"/>
        <v>8.5106382978723403</v>
      </c>
      <c r="D12" s="21">
        <f>SUM('INDIVIDUAL SALES'!M23:M31)</f>
        <v>129</v>
      </c>
      <c r="E12" s="42">
        <f t="shared" si="3"/>
        <v>91.489361702127653</v>
      </c>
      <c r="F12" s="21">
        <f t="shared" si="4"/>
        <v>141</v>
      </c>
    </row>
    <row r="13" spans="1:6" ht="15.75" thickBot="1" x14ac:dyDescent="0.3">
      <c r="A13" s="33" t="s">
        <v>15</v>
      </c>
      <c r="B13" s="33">
        <f>SUM(B9:B12)</f>
        <v>90</v>
      </c>
      <c r="C13" s="43">
        <f t="shared" si="2"/>
        <v>17.716535433070867</v>
      </c>
      <c r="D13" s="33">
        <f>SUM(D9:D12)</f>
        <v>418</v>
      </c>
      <c r="E13" s="43">
        <f t="shared" si="3"/>
        <v>82.283464566929126</v>
      </c>
      <c r="F13" s="33">
        <f t="shared" si="4"/>
        <v>508</v>
      </c>
    </row>
    <row r="14" spans="1:6" ht="15.75" thickBot="1" x14ac:dyDescent="0.3">
      <c r="A14" s="34" t="s">
        <v>17</v>
      </c>
      <c r="B14" s="35">
        <f>+B7+B13</f>
        <v>155</v>
      </c>
      <c r="C14" s="44">
        <f t="shared" si="2"/>
        <v>26.72413793103448</v>
      </c>
      <c r="D14" s="35">
        <f>+D7+D13</f>
        <v>425</v>
      </c>
      <c r="E14" s="44">
        <f t="shared" si="3"/>
        <v>73.275862068965509</v>
      </c>
      <c r="F14" s="36">
        <f>+F7+F13</f>
        <v>580</v>
      </c>
    </row>
    <row r="16" spans="1:6" x14ac:dyDescent="0.25">
      <c r="A16" s="32" t="s">
        <v>20</v>
      </c>
      <c r="B16" s="37" t="s">
        <v>24</v>
      </c>
      <c r="C16" s="38"/>
      <c r="D16" s="37" t="s">
        <v>23</v>
      </c>
      <c r="E16" s="38"/>
      <c r="F16" s="45" t="s">
        <v>25</v>
      </c>
    </row>
    <row r="17" spans="1:6" x14ac:dyDescent="0.25">
      <c r="A17" s="32" t="s">
        <v>21</v>
      </c>
      <c r="B17" s="32" t="s">
        <v>18</v>
      </c>
      <c r="C17" s="32" t="s">
        <v>19</v>
      </c>
      <c r="D17" s="32" t="s">
        <v>18</v>
      </c>
      <c r="E17" s="32" t="s">
        <v>19</v>
      </c>
      <c r="F17" s="46"/>
    </row>
    <row r="18" spans="1:6" x14ac:dyDescent="0.25">
      <c r="A18" s="21" t="s">
        <v>11</v>
      </c>
      <c r="B18" s="21">
        <f>SUM('BUNDLED 2LTR FIZZI+8PCR'!B2:B8)</f>
        <v>174</v>
      </c>
      <c r="C18" s="42">
        <f>+B18/F18*100</f>
        <v>41.134751773049643</v>
      </c>
      <c r="D18" s="21">
        <f>SUM('BUNDLED 2LTR FIZZI+8PCR'!G2:G8)</f>
        <v>249</v>
      </c>
      <c r="E18" s="42">
        <f>+D18/F18*100</f>
        <v>58.865248226950349</v>
      </c>
      <c r="F18" s="21">
        <f>+B18+D18</f>
        <v>423</v>
      </c>
    </row>
    <row r="19" spans="1:6" x14ac:dyDescent="0.25">
      <c r="A19" s="21" t="s">
        <v>12</v>
      </c>
      <c r="B19" s="21">
        <f>SUM('BUNDLED 2LTR FIZZI+8PCR'!B9:B15)</f>
        <v>168</v>
      </c>
      <c r="C19" s="42">
        <f t="shared" ref="C19:C22" si="5">+B19/F19*100</f>
        <v>52.336448598130836</v>
      </c>
      <c r="D19" s="21">
        <f>SUM('BUNDLED 2LTR FIZZI+8PCR'!G9:G15)</f>
        <v>153</v>
      </c>
      <c r="E19" s="42">
        <f t="shared" ref="E19:E22" si="6">+D19/F19*100</f>
        <v>47.663551401869157</v>
      </c>
      <c r="F19" s="21">
        <f t="shared" ref="F19:F22" si="7">+B19+D19</f>
        <v>321</v>
      </c>
    </row>
    <row r="20" spans="1:6" x14ac:dyDescent="0.25">
      <c r="A20" s="21" t="s">
        <v>13</v>
      </c>
      <c r="B20" s="21">
        <f>SUM('BUNDLED 2LTR FIZZI+8PCR'!B16:B22)</f>
        <v>319</v>
      </c>
      <c r="C20" s="42">
        <f t="shared" si="5"/>
        <v>75.952380952380949</v>
      </c>
      <c r="D20" s="21">
        <f>SUM('BUNDLED 2LTR FIZZI+8PCR'!G16:G22)</f>
        <v>101</v>
      </c>
      <c r="E20" s="42">
        <f t="shared" si="6"/>
        <v>24.047619047619047</v>
      </c>
      <c r="F20" s="21">
        <f t="shared" si="7"/>
        <v>420</v>
      </c>
    </row>
    <row r="21" spans="1:6" x14ac:dyDescent="0.25">
      <c r="A21" s="21" t="s">
        <v>14</v>
      </c>
      <c r="B21" s="21">
        <f>SUM('BUNDLED 2LTR FIZZI+8PCR'!B23:B32)</f>
        <v>335</v>
      </c>
      <c r="C21" s="42">
        <f t="shared" si="5"/>
        <v>50.149700598802397</v>
      </c>
      <c r="D21" s="21">
        <f>SUM('BUNDLED 2LTR FIZZI+8PCR'!G23:G32)</f>
        <v>333</v>
      </c>
      <c r="E21" s="42">
        <f t="shared" si="6"/>
        <v>49.850299401197603</v>
      </c>
      <c r="F21" s="21">
        <f t="shared" si="7"/>
        <v>668</v>
      </c>
    </row>
    <row r="22" spans="1:6" x14ac:dyDescent="0.25">
      <c r="A22" s="21" t="s">
        <v>15</v>
      </c>
      <c r="B22" s="21">
        <f>SUM(B18:B21)</f>
        <v>996</v>
      </c>
      <c r="C22" s="42">
        <f t="shared" si="5"/>
        <v>54.366812227074234</v>
      </c>
      <c r="D22" s="21">
        <f>SUM(D18:D21)</f>
        <v>836</v>
      </c>
      <c r="E22" s="42">
        <f t="shared" si="6"/>
        <v>45.633187772925766</v>
      </c>
      <c r="F22" s="21">
        <f t="shared" si="7"/>
        <v>1832</v>
      </c>
    </row>
  </sheetData>
  <mergeCells count="7">
    <mergeCell ref="B1:C1"/>
    <mergeCell ref="D1:E1"/>
    <mergeCell ref="B8:F8"/>
    <mergeCell ref="F1:F2"/>
    <mergeCell ref="B16:C16"/>
    <mergeCell ref="D16:E16"/>
    <mergeCell ref="F16:F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18" workbookViewId="0">
      <selection activeCell="G4" sqref="G2:G8"/>
    </sheetView>
  </sheetViews>
  <sheetFormatPr defaultRowHeight="15" x14ac:dyDescent="0.25"/>
  <cols>
    <col min="1" max="1" width="11.28515625" customWidth="1"/>
    <col min="2" max="2" width="33.85546875" customWidth="1"/>
    <col min="3" max="3" width="17" customWidth="1"/>
    <col min="4" max="4" width="18.42578125" customWidth="1"/>
    <col min="6" max="6" width="13" customWidth="1"/>
    <col min="7" max="7" width="35.7109375" customWidth="1"/>
    <col min="8" max="8" width="18.140625" customWidth="1"/>
    <col min="9" max="9" width="19.7109375" customWidth="1"/>
  </cols>
  <sheetData>
    <row r="1" spans="1:9" x14ac:dyDescent="0.25">
      <c r="A1" s="7" t="s">
        <v>0</v>
      </c>
      <c r="B1" s="7" t="s">
        <v>4</v>
      </c>
      <c r="C1" s="7" t="s">
        <v>7</v>
      </c>
      <c r="D1" s="7" t="s">
        <v>1</v>
      </c>
      <c r="F1" s="24" t="s">
        <v>0</v>
      </c>
      <c r="G1" s="24" t="s">
        <v>4</v>
      </c>
      <c r="H1" s="24" t="s">
        <v>7</v>
      </c>
      <c r="I1" s="24" t="s">
        <v>1</v>
      </c>
    </row>
    <row r="2" spans="1:9" x14ac:dyDescent="0.25">
      <c r="A2" s="8">
        <v>45261</v>
      </c>
      <c r="B2" s="9">
        <v>28</v>
      </c>
      <c r="C2" s="18">
        <v>14</v>
      </c>
      <c r="D2" s="9">
        <f>5.54+0.69</f>
        <v>6.23</v>
      </c>
      <c r="F2" s="8">
        <v>45474</v>
      </c>
      <c r="G2" s="9">
        <v>0</v>
      </c>
      <c r="H2" s="9">
        <v>14</v>
      </c>
      <c r="I2" s="9">
        <v>6.23</v>
      </c>
    </row>
    <row r="3" spans="1:9" x14ac:dyDescent="0.25">
      <c r="A3" s="8">
        <v>45262</v>
      </c>
      <c r="B3" s="9">
        <v>42</v>
      </c>
      <c r="C3" s="18">
        <v>14</v>
      </c>
      <c r="D3" s="9">
        <f t="shared" ref="D3:D32" si="0">5.54+0.69</f>
        <v>6.23</v>
      </c>
      <c r="F3" s="8">
        <v>45475</v>
      </c>
      <c r="G3" s="9">
        <v>0</v>
      </c>
      <c r="H3" s="9">
        <v>14</v>
      </c>
      <c r="I3" s="9">
        <v>6.23</v>
      </c>
    </row>
    <row r="4" spans="1:9" x14ac:dyDescent="0.25">
      <c r="A4" s="8">
        <v>45263</v>
      </c>
      <c r="B4" s="9">
        <v>23</v>
      </c>
      <c r="C4" s="18">
        <v>14</v>
      </c>
      <c r="D4" s="9">
        <f t="shared" si="0"/>
        <v>6.23</v>
      </c>
      <c r="F4" s="8">
        <v>45476</v>
      </c>
      <c r="G4" s="9">
        <v>20</v>
      </c>
      <c r="H4" s="9">
        <v>14</v>
      </c>
      <c r="I4" s="9">
        <v>6.23</v>
      </c>
    </row>
    <row r="5" spans="1:9" x14ac:dyDescent="0.25">
      <c r="A5" s="8">
        <v>45264</v>
      </c>
      <c r="B5" s="9">
        <v>18</v>
      </c>
      <c r="C5" s="18">
        <v>14</v>
      </c>
      <c r="D5" s="9">
        <f t="shared" si="0"/>
        <v>6.23</v>
      </c>
      <c r="F5" s="8">
        <v>45477</v>
      </c>
      <c r="G5" s="9">
        <v>41</v>
      </c>
      <c r="H5" s="9">
        <v>14</v>
      </c>
      <c r="I5" s="9">
        <v>6.23</v>
      </c>
    </row>
    <row r="6" spans="1:9" x14ac:dyDescent="0.25">
      <c r="A6" s="8">
        <v>45265</v>
      </c>
      <c r="B6" s="9">
        <v>21</v>
      </c>
      <c r="C6" s="18">
        <v>14</v>
      </c>
      <c r="D6" s="9">
        <f t="shared" si="0"/>
        <v>6.23</v>
      </c>
      <c r="F6" s="8">
        <v>45478</v>
      </c>
      <c r="G6" s="9">
        <f>54+23</f>
        <v>77</v>
      </c>
      <c r="H6" s="9">
        <v>14</v>
      </c>
      <c r="I6" s="9">
        <v>6.23</v>
      </c>
    </row>
    <row r="7" spans="1:9" x14ac:dyDescent="0.25">
      <c r="A7" s="8">
        <v>45266</v>
      </c>
      <c r="B7" s="9">
        <v>23</v>
      </c>
      <c r="C7" s="18">
        <v>14</v>
      </c>
      <c r="D7" s="9">
        <f t="shared" si="0"/>
        <v>6.23</v>
      </c>
      <c r="F7" s="8">
        <v>45479</v>
      </c>
      <c r="G7" s="9">
        <f>64+21</f>
        <v>85</v>
      </c>
      <c r="H7" s="9">
        <v>14</v>
      </c>
      <c r="I7" s="9">
        <v>6.23</v>
      </c>
    </row>
    <row r="8" spans="1:9" x14ac:dyDescent="0.25">
      <c r="A8" s="8">
        <v>45267</v>
      </c>
      <c r="B8" s="9">
        <v>19</v>
      </c>
      <c r="C8" s="18">
        <v>14</v>
      </c>
      <c r="D8" s="9">
        <f t="shared" si="0"/>
        <v>6.23</v>
      </c>
      <c r="F8" s="8">
        <v>45480</v>
      </c>
      <c r="G8" s="9">
        <v>26</v>
      </c>
      <c r="H8" s="9">
        <v>14</v>
      </c>
      <c r="I8" s="9">
        <v>6.23</v>
      </c>
    </row>
    <row r="9" spans="1:9" x14ac:dyDescent="0.25">
      <c r="A9" s="8">
        <v>45268</v>
      </c>
      <c r="B9" s="9">
        <v>22</v>
      </c>
      <c r="C9" s="18">
        <v>14</v>
      </c>
      <c r="D9" s="9">
        <f t="shared" si="0"/>
        <v>6.23</v>
      </c>
      <c r="F9" s="8">
        <v>45481</v>
      </c>
      <c r="G9" s="9">
        <v>6</v>
      </c>
      <c r="H9" s="9">
        <v>14</v>
      </c>
      <c r="I9" s="9">
        <v>6.23</v>
      </c>
    </row>
    <row r="10" spans="1:9" x14ac:dyDescent="0.25">
      <c r="A10" s="8">
        <v>45269</v>
      </c>
      <c r="B10" s="9">
        <v>18</v>
      </c>
      <c r="C10" s="18">
        <v>14</v>
      </c>
      <c r="D10" s="9">
        <f t="shared" si="0"/>
        <v>6.23</v>
      </c>
      <c r="F10" s="8">
        <v>45482</v>
      </c>
      <c r="G10" s="9">
        <v>4</v>
      </c>
      <c r="H10" s="9">
        <v>14</v>
      </c>
      <c r="I10" s="9">
        <v>6.23</v>
      </c>
    </row>
    <row r="11" spans="1:9" x14ac:dyDescent="0.25">
      <c r="A11" s="8">
        <v>45270</v>
      </c>
      <c r="B11" s="9">
        <v>31</v>
      </c>
      <c r="C11" s="18">
        <v>14</v>
      </c>
      <c r="D11" s="9">
        <f t="shared" si="0"/>
        <v>6.23</v>
      </c>
      <c r="F11" s="8">
        <v>45483</v>
      </c>
      <c r="G11" s="9">
        <v>1</v>
      </c>
      <c r="H11" s="9">
        <v>14</v>
      </c>
      <c r="I11" s="9">
        <v>6.23</v>
      </c>
    </row>
    <row r="12" spans="1:9" x14ac:dyDescent="0.25">
      <c r="A12" s="8">
        <v>45271</v>
      </c>
      <c r="B12" s="9">
        <v>17</v>
      </c>
      <c r="C12" s="18">
        <v>14</v>
      </c>
      <c r="D12" s="9">
        <f t="shared" si="0"/>
        <v>6.23</v>
      </c>
      <c r="F12" s="8">
        <v>45484</v>
      </c>
      <c r="G12" s="9">
        <v>4</v>
      </c>
      <c r="H12" s="9">
        <v>14</v>
      </c>
      <c r="I12" s="9">
        <v>6.23</v>
      </c>
    </row>
    <row r="13" spans="1:9" x14ac:dyDescent="0.25">
      <c r="A13" s="8">
        <v>45272</v>
      </c>
      <c r="B13" s="9">
        <v>28</v>
      </c>
      <c r="C13" s="18">
        <v>14</v>
      </c>
      <c r="D13" s="9">
        <f t="shared" si="0"/>
        <v>6.23</v>
      </c>
      <c r="F13" s="8">
        <v>45485</v>
      </c>
      <c r="G13" s="9">
        <v>64</v>
      </c>
      <c r="H13" s="9">
        <v>14</v>
      </c>
      <c r="I13" s="9">
        <v>6.23</v>
      </c>
    </row>
    <row r="14" spans="1:9" x14ac:dyDescent="0.25">
      <c r="A14" s="8">
        <v>45273</v>
      </c>
      <c r="B14" s="9">
        <v>30</v>
      </c>
      <c r="C14" s="18">
        <v>14</v>
      </c>
      <c r="D14" s="9">
        <f t="shared" si="0"/>
        <v>6.23</v>
      </c>
      <c r="F14" s="8">
        <v>45486</v>
      </c>
      <c r="G14" s="9">
        <v>47</v>
      </c>
      <c r="H14" s="9">
        <v>14</v>
      </c>
      <c r="I14" s="9">
        <v>6.23</v>
      </c>
    </row>
    <row r="15" spans="1:9" x14ac:dyDescent="0.25">
      <c r="A15" s="8">
        <v>45274</v>
      </c>
      <c r="B15" s="9">
        <v>22</v>
      </c>
      <c r="C15" s="18">
        <v>14</v>
      </c>
      <c r="D15" s="9">
        <f t="shared" si="0"/>
        <v>6.23</v>
      </c>
      <c r="F15" s="8">
        <v>45487</v>
      </c>
      <c r="G15" s="9">
        <v>27</v>
      </c>
      <c r="H15" s="9">
        <v>14</v>
      </c>
      <c r="I15" s="9">
        <v>6.23</v>
      </c>
    </row>
    <row r="16" spans="1:9" x14ac:dyDescent="0.25">
      <c r="A16" s="8">
        <v>45275</v>
      </c>
      <c r="B16" s="9">
        <v>56</v>
      </c>
      <c r="C16" s="18">
        <v>14</v>
      </c>
      <c r="D16" s="9">
        <f t="shared" si="0"/>
        <v>6.23</v>
      </c>
      <c r="F16" s="8">
        <v>45488</v>
      </c>
      <c r="G16" s="9">
        <v>24</v>
      </c>
      <c r="H16" s="9">
        <v>14</v>
      </c>
      <c r="I16" s="9">
        <v>6.23</v>
      </c>
    </row>
    <row r="17" spans="1:9" x14ac:dyDescent="0.25">
      <c r="A17" s="8">
        <v>45276</v>
      </c>
      <c r="B17" s="9">
        <v>49</v>
      </c>
      <c r="C17" s="18">
        <v>14</v>
      </c>
      <c r="D17" s="9">
        <f t="shared" si="0"/>
        <v>6.23</v>
      </c>
      <c r="F17" s="8">
        <v>45489</v>
      </c>
      <c r="G17" s="9">
        <v>15</v>
      </c>
      <c r="H17" s="9">
        <v>14</v>
      </c>
      <c r="I17" s="9">
        <v>6.23</v>
      </c>
    </row>
    <row r="18" spans="1:9" x14ac:dyDescent="0.25">
      <c r="A18" s="8">
        <v>45277</v>
      </c>
      <c r="B18" s="9">
        <v>38</v>
      </c>
      <c r="C18" s="18">
        <v>14</v>
      </c>
      <c r="D18" s="9">
        <f t="shared" si="0"/>
        <v>6.23</v>
      </c>
      <c r="F18" s="8">
        <v>45490</v>
      </c>
      <c r="G18" s="9">
        <v>23</v>
      </c>
      <c r="H18" s="9">
        <v>14</v>
      </c>
      <c r="I18" s="9">
        <v>6.23</v>
      </c>
    </row>
    <row r="19" spans="1:9" x14ac:dyDescent="0.25">
      <c r="A19" s="8">
        <v>45278</v>
      </c>
      <c r="B19" s="9">
        <v>37</v>
      </c>
      <c r="C19" s="18">
        <v>14</v>
      </c>
      <c r="D19" s="9">
        <f t="shared" si="0"/>
        <v>6.23</v>
      </c>
      <c r="F19" s="8">
        <v>45491</v>
      </c>
      <c r="G19" s="9">
        <v>12</v>
      </c>
      <c r="H19" s="9">
        <v>14</v>
      </c>
      <c r="I19" s="9">
        <v>6.23</v>
      </c>
    </row>
    <row r="20" spans="1:9" x14ac:dyDescent="0.25">
      <c r="A20" s="8">
        <v>45279</v>
      </c>
      <c r="B20" s="9">
        <v>41</v>
      </c>
      <c r="C20" s="18">
        <v>14</v>
      </c>
      <c r="D20" s="9">
        <f t="shared" si="0"/>
        <v>6.23</v>
      </c>
      <c r="F20" s="8">
        <v>45492</v>
      </c>
      <c r="G20" s="9">
        <v>10</v>
      </c>
      <c r="H20" s="9">
        <v>14</v>
      </c>
      <c r="I20" s="9">
        <v>6.23</v>
      </c>
    </row>
    <row r="21" spans="1:9" x14ac:dyDescent="0.25">
      <c r="A21" s="8">
        <v>45280</v>
      </c>
      <c r="B21" s="9">
        <v>46</v>
      </c>
      <c r="C21" s="18">
        <v>14</v>
      </c>
      <c r="D21" s="9">
        <f t="shared" si="0"/>
        <v>6.23</v>
      </c>
      <c r="F21" s="8">
        <v>45493</v>
      </c>
      <c r="G21" s="9">
        <v>13</v>
      </c>
      <c r="H21" s="9">
        <v>14</v>
      </c>
      <c r="I21" s="9">
        <v>6.23</v>
      </c>
    </row>
    <row r="22" spans="1:9" x14ac:dyDescent="0.25">
      <c r="A22" s="8">
        <v>45281</v>
      </c>
      <c r="B22" s="9">
        <v>52</v>
      </c>
      <c r="C22" s="18">
        <v>14</v>
      </c>
      <c r="D22" s="9">
        <f t="shared" si="0"/>
        <v>6.23</v>
      </c>
      <c r="F22" s="8">
        <v>45494</v>
      </c>
      <c r="G22" s="9">
        <v>4</v>
      </c>
      <c r="H22" s="9">
        <v>14</v>
      </c>
      <c r="I22" s="9">
        <v>6.23</v>
      </c>
    </row>
    <row r="23" spans="1:9" x14ac:dyDescent="0.25">
      <c r="A23" s="8">
        <v>45282</v>
      </c>
      <c r="B23" s="9">
        <v>68</v>
      </c>
      <c r="C23" s="18">
        <v>14</v>
      </c>
      <c r="D23" s="9">
        <f t="shared" si="0"/>
        <v>6.23</v>
      </c>
      <c r="F23" s="8">
        <v>45495</v>
      </c>
      <c r="G23" s="9">
        <v>29</v>
      </c>
      <c r="H23" s="9">
        <v>14</v>
      </c>
      <c r="I23" s="9">
        <v>6.23</v>
      </c>
    </row>
    <row r="24" spans="1:9" x14ac:dyDescent="0.25">
      <c r="A24" s="8">
        <v>45283</v>
      </c>
      <c r="B24" s="9">
        <v>77</v>
      </c>
      <c r="C24" s="18">
        <v>14</v>
      </c>
      <c r="D24" s="9">
        <f t="shared" si="0"/>
        <v>6.23</v>
      </c>
      <c r="F24" s="8">
        <v>45496</v>
      </c>
      <c r="G24" s="9">
        <v>11</v>
      </c>
      <c r="H24" s="9">
        <v>14</v>
      </c>
      <c r="I24" s="9">
        <v>6.23</v>
      </c>
    </row>
    <row r="25" spans="1:9" x14ac:dyDescent="0.25">
      <c r="A25" s="8">
        <v>45284</v>
      </c>
      <c r="B25" s="9">
        <v>2</v>
      </c>
      <c r="C25" s="18">
        <v>14</v>
      </c>
      <c r="D25" s="9">
        <f t="shared" si="0"/>
        <v>6.23</v>
      </c>
      <c r="F25" s="8">
        <v>45497</v>
      </c>
      <c r="G25" s="9">
        <v>21</v>
      </c>
      <c r="H25" s="9">
        <v>14</v>
      </c>
      <c r="I25" s="9">
        <v>6.23</v>
      </c>
    </row>
    <row r="26" spans="1:9" x14ac:dyDescent="0.25">
      <c r="A26" s="8">
        <v>45285</v>
      </c>
      <c r="B26" s="9">
        <v>0</v>
      </c>
      <c r="C26" s="18">
        <v>14</v>
      </c>
      <c r="D26" s="9">
        <f t="shared" si="0"/>
        <v>6.23</v>
      </c>
      <c r="F26" s="8">
        <v>45498</v>
      </c>
      <c r="G26" s="9">
        <v>31</v>
      </c>
      <c r="H26" s="9">
        <v>14</v>
      </c>
      <c r="I26" s="9">
        <v>6.23</v>
      </c>
    </row>
    <row r="27" spans="1:9" x14ac:dyDescent="0.25">
      <c r="A27" s="8">
        <v>45286</v>
      </c>
      <c r="B27" s="9">
        <v>0</v>
      </c>
      <c r="C27" s="18">
        <v>14</v>
      </c>
      <c r="D27" s="9">
        <f t="shared" si="0"/>
        <v>6.23</v>
      </c>
      <c r="F27" s="8">
        <v>45499</v>
      </c>
      <c r="G27" s="9">
        <v>55</v>
      </c>
      <c r="H27" s="9">
        <v>14</v>
      </c>
      <c r="I27" s="9">
        <v>6.23</v>
      </c>
    </row>
    <row r="28" spans="1:9" x14ac:dyDescent="0.25">
      <c r="A28" s="8">
        <v>45287</v>
      </c>
      <c r="B28" s="9">
        <v>20</v>
      </c>
      <c r="C28" s="18">
        <v>14</v>
      </c>
      <c r="D28" s="9">
        <f t="shared" si="0"/>
        <v>6.23</v>
      </c>
      <c r="F28" s="8">
        <v>45500</v>
      </c>
      <c r="G28" s="9">
        <v>114</v>
      </c>
      <c r="H28" s="9">
        <v>14</v>
      </c>
      <c r="I28" s="9">
        <v>6.23</v>
      </c>
    </row>
    <row r="29" spans="1:9" x14ac:dyDescent="0.25">
      <c r="A29" s="8">
        <v>45288</v>
      </c>
      <c r="B29" s="9">
        <v>27</v>
      </c>
      <c r="C29" s="18">
        <v>14</v>
      </c>
      <c r="D29" s="9">
        <f t="shared" si="0"/>
        <v>6.23</v>
      </c>
      <c r="F29" s="8">
        <v>45501</v>
      </c>
      <c r="G29" s="9">
        <v>14</v>
      </c>
      <c r="H29" s="9">
        <v>14</v>
      </c>
      <c r="I29" s="9">
        <v>6.23</v>
      </c>
    </row>
    <row r="30" spans="1:9" x14ac:dyDescent="0.25">
      <c r="A30" s="8">
        <v>45289</v>
      </c>
      <c r="B30" s="9">
        <v>42</v>
      </c>
      <c r="C30" s="18">
        <v>14</v>
      </c>
      <c r="D30" s="9">
        <f t="shared" si="0"/>
        <v>6.23</v>
      </c>
      <c r="F30" s="8">
        <v>45502</v>
      </c>
      <c r="G30" s="9">
        <v>33</v>
      </c>
      <c r="H30" s="9">
        <v>14</v>
      </c>
      <c r="I30" s="9">
        <v>6.23</v>
      </c>
    </row>
    <row r="31" spans="1:9" x14ac:dyDescent="0.25">
      <c r="A31" s="8">
        <v>45290</v>
      </c>
      <c r="B31" s="9">
        <v>35</v>
      </c>
      <c r="C31" s="18">
        <v>14</v>
      </c>
      <c r="D31" s="9">
        <f t="shared" si="0"/>
        <v>6.23</v>
      </c>
      <c r="F31" s="8">
        <v>45503</v>
      </c>
      <c r="G31" s="9">
        <v>25</v>
      </c>
      <c r="H31" s="9">
        <v>14</v>
      </c>
      <c r="I31" s="9">
        <v>6.23</v>
      </c>
    </row>
    <row r="32" spans="1:9" x14ac:dyDescent="0.25">
      <c r="A32" s="8">
        <v>45291</v>
      </c>
      <c r="B32" s="9">
        <v>64</v>
      </c>
      <c r="C32" s="18">
        <v>14</v>
      </c>
      <c r="D32" s="9">
        <f t="shared" si="0"/>
        <v>6.23</v>
      </c>
      <c r="F32" s="8">
        <v>45504</v>
      </c>
      <c r="G32" s="9"/>
      <c r="H32" s="9">
        <v>14</v>
      </c>
      <c r="I32" s="9">
        <v>6.23</v>
      </c>
    </row>
    <row r="33" spans="1:9" x14ac:dyDescent="0.25">
      <c r="A33" t="s">
        <v>5</v>
      </c>
      <c r="B33" s="11">
        <f>SUM(B2:B32)</f>
        <v>996</v>
      </c>
      <c r="C33" s="19">
        <f>+B33*14</f>
        <v>13944</v>
      </c>
      <c r="D33" s="20">
        <f>+B33*6.23</f>
        <v>6205.0800000000008</v>
      </c>
      <c r="F33" s="21" t="s">
        <v>5</v>
      </c>
      <c r="G33" s="26">
        <f>SUM(G2:G32)</f>
        <v>836</v>
      </c>
      <c r="H33" s="27">
        <f>+G33*14</f>
        <v>11704</v>
      </c>
      <c r="I33" s="28">
        <f>+G33*6.23</f>
        <v>5208.2800000000007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SALES</vt:lpstr>
      <vt:lpstr>Sheet1</vt:lpstr>
      <vt:lpstr>BUNDLED 2LTR FIZZI+8PCR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Mluleki Moyo</dc:creator>
  <cp:lastModifiedBy>Mluleki Moyo</cp:lastModifiedBy>
  <dcterms:created xsi:type="dcterms:W3CDTF">2024-12-10T11:32:31Z</dcterms:created>
  <dcterms:modified xsi:type="dcterms:W3CDTF">2025-04-08T09:21:26Z</dcterms:modified>
</cp:coreProperties>
</file>